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Lookup_Categories" sheetId="2" state="visible" r:id="rId4"/>
    <sheet name="Lookup_Products" sheetId="3" state="visible" r:id="rId5"/>
    <sheet name="Lookup_StateRegion" sheetId="4" state="visible" r:id="rId6"/>
    <sheet name="Lookup_Customers" sheetId="5" state="visible" r:id="rId7"/>
    <sheet name="Lookup_Orders" sheetId="6" state="visible" r:id="rId8"/>
    <sheet name="RawData" sheetId="7" state="visible" r:id="rId9"/>
    <sheet name="Summary_Category" sheetId="8" state="visible" r:id="rId10"/>
    <sheet name="Summary_Monthly" sheetId="9" state="visible" r:id="rId11"/>
    <sheet name="Summary_OrderStatu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<sst xmlns="http://schemas.openxmlformats.org/spreadsheetml/2006/main" count="140" uniqueCount="83">
  <si>
    <t xml:space="preserve">Sales Order Management &amp; Customer Analytics — Dashboard</t>
  </si>
  <si>
    <t xml:space="preserve">Total Revenue</t>
  </si>
  <si>
    <t xml:space="preserve">Total Orders</t>
  </si>
  <si>
    <t xml:space="preserve">Total Customers</t>
  </si>
  <si>
    <t xml:space="preserve">Avg Order Value</t>
  </si>
  <si>
    <t xml:space="preserve">Charts below are built from the Summary sheets. For the interactive version with Region / Date Range slicers, insert a real PivotTable from the RawDataTable (see note on the RawData sheet).</t>
  </si>
  <si>
    <t xml:space="preserve">CategoryID</t>
  </si>
  <si>
    <t xml:space="preserve">CategoryName</t>
  </si>
  <si>
    <t xml:space="preserve">Electronics</t>
  </si>
  <si>
    <t xml:space="preserve">Home Appliances</t>
  </si>
  <si>
    <t xml:space="preserve">Stationery</t>
  </si>
  <si>
    <t xml:space="preserve">Furniture</t>
  </si>
  <si>
    <t xml:space="preserve">ProductID</t>
  </si>
  <si>
    <t xml:space="preserve">ProductName</t>
  </si>
  <si>
    <t xml:space="preserve">UnitPrice</t>
  </si>
  <si>
    <t xml:space="preserve">Note: CategoryName is pulled dynamically via VLOOKUP against Lookup_Categories (mirrors Step 3 requirement).</t>
  </si>
  <si>
    <t xml:space="preserve">Wireless Mouse</t>
  </si>
  <si>
    <t xml:space="preserve">Bluetooth Keyboard</t>
  </si>
  <si>
    <t xml:space="preserve">LED Desk Lamp</t>
  </si>
  <si>
    <t xml:space="preserve">Electric Kettle</t>
  </si>
  <si>
    <t xml:space="preserve">Notebook Pack (5pcs)</t>
  </si>
  <si>
    <t xml:space="preserve">Gel Pen Box (10pcs)</t>
  </si>
  <si>
    <t xml:space="preserve">Office Chair</t>
  </si>
  <si>
    <t xml:space="preserve">Study Table</t>
  </si>
  <si>
    <t xml:space="preserve">State</t>
  </si>
  <si>
    <t xml:space="preserve">Region</t>
  </si>
  <si>
    <t xml:space="preserve">Note: all 8 sample customers are based in Maharashtra, so Region will show only 'West' until more geographically varied customers are added.</t>
  </si>
  <si>
    <t xml:space="preserve">Maharashtra</t>
  </si>
  <si>
    <t xml:space="preserve">West</t>
  </si>
  <si>
    <t xml:space="preserve">Gujarat</t>
  </si>
  <si>
    <t xml:space="preserve">Delhi</t>
  </si>
  <si>
    <t xml:space="preserve">North</t>
  </si>
  <si>
    <t xml:space="preserve">Punjab</t>
  </si>
  <si>
    <t xml:space="preserve">Karnataka</t>
  </si>
  <si>
    <t xml:space="preserve">South</t>
  </si>
  <si>
    <t xml:space="preserve">Tamil Nadu</t>
  </si>
  <si>
    <t xml:space="preserve">West Bengal</t>
  </si>
  <si>
    <t xml:space="preserve">East</t>
  </si>
  <si>
    <t xml:space="preserve">Odisha</t>
  </si>
  <si>
    <t xml:space="preserve">CustomerID</t>
  </si>
  <si>
    <t xml:space="preserve">CustomerName</t>
  </si>
  <si>
    <t xml:space="preserve">City</t>
  </si>
  <si>
    <t xml:space="preserve">CustomerSegment</t>
  </si>
  <si>
    <t xml:space="preserve">Rohan Sharma</t>
  </si>
  <si>
    <t xml:space="preserve">Pune</t>
  </si>
  <si>
    <t xml:space="preserve">Retail</t>
  </si>
  <si>
    <t xml:space="preserve">Priya Verma</t>
  </si>
  <si>
    <t xml:space="preserve">VIP</t>
  </si>
  <si>
    <t xml:space="preserve">Amit Deshmukh</t>
  </si>
  <si>
    <t xml:space="preserve">Wholesale</t>
  </si>
  <si>
    <t xml:space="preserve">Sneha Kulkarni</t>
  </si>
  <si>
    <t xml:space="preserve">Vikram Joshi</t>
  </si>
  <si>
    <t xml:space="preserve">Neha Patil</t>
  </si>
  <si>
    <t xml:space="preserve">Karan Mehta</t>
  </si>
  <si>
    <t xml:space="preserve">Anjali Gupta</t>
  </si>
  <si>
    <t xml:space="preserve">OrderID</t>
  </si>
  <si>
    <t xml:space="preserve">OrderDate</t>
  </si>
  <si>
    <t xml:space="preserve">Status</t>
  </si>
  <si>
    <t xml:space="preserve">TotalAmount</t>
  </si>
  <si>
    <t xml:space="preserve">OrderPriority</t>
  </si>
  <si>
    <t xml:space="preserve">CancellationReason</t>
  </si>
  <si>
    <t xml:space="preserve">Note: OrderPriority is a formula (BR-01: TotalAmount &gt; 1000 = VIP), mirroring the generated column in the MySQL schema.</t>
  </si>
  <si>
    <t xml:space="preserve">Delivered</t>
  </si>
  <si>
    <t xml:space="preserve">Processing</t>
  </si>
  <si>
    <t xml:space="preserve">Cancelled</t>
  </si>
  <si>
    <t xml:space="preserve">Customer found a better price elsewhere</t>
  </si>
  <si>
    <t xml:space="preserve">Pending</t>
  </si>
  <si>
    <t xml:space="preserve">Shipped</t>
  </si>
  <si>
    <t xml:space="preserve">OrderDetailID</t>
  </si>
  <si>
    <t xml:space="preserve">Quantity</t>
  </si>
  <si>
    <t xml:space="preserve">Discount</t>
  </si>
  <si>
    <t xml:space="preserve">LineTotal</t>
  </si>
  <si>
    <t xml:space="preserve">OrderStatus</t>
  </si>
  <si>
    <t xml:space="preserve">Note: this sheet is formatted as an Excel Table ('RawDataTable'). In Excel, select any cell in it and go to Insert &gt; PivotTable to build the three interactive Pivot Tables, then Insert &gt; Slicer for Region and Date Range (openpyxl cannot create native PivotTable/Slicer objects, so the Summary sheets and Dashboard below use SUMIFS formulas as a working stand-in).</t>
  </si>
  <si>
    <t xml:space="preserve">UnitsSold</t>
  </si>
  <si>
    <t xml:space="preserve">Revenue</t>
  </si>
  <si>
    <t xml:space="preserve">Month</t>
  </si>
  <si>
    <t xml:space="preserve">StartDate</t>
  </si>
  <si>
    <t xml:space="preserve">EndDate</t>
  </si>
  <si>
    <t xml:space="preserve">OrderCount</t>
  </si>
  <si>
    <t xml:space="preserve">Jan-2024</t>
  </si>
  <si>
    <t xml:space="preserve">Feb-2024</t>
  </si>
  <si>
    <t xml:space="preserve">Mar-2024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</si>
</sst>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#,##0"/>
    <numFmt numFmtId="167" formatCode="yyyy\-mm\-dd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4A7EBB"/>
      </patternFill>
    </fill>
    <fill>
      <patternFill patternType="solid">
        <fgColor rgb="FF548235"/>
        <bgColor rgb="FF808080"/>
      </patternFill>
    </fill>
    <fill>
      <patternFill patternType="solid">
        <fgColor rgb="FFBF8F00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4F81BD"/>
      <rgbColor rgb="FFC0C0C0"/>
      <rgbColor rgb="FF808080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4BACC6"/>
      <rgbColor rgb="FF9BBB59"/>
      <rgbColor rgb="FFFFCC00"/>
      <rgbColor rgb="FFBF8F00"/>
      <rgbColor rgb="FFFF6600"/>
      <rgbColor rgb="FF8064A2"/>
      <rgbColor rgb="FF878787"/>
      <rgbColor rgb="FF003366"/>
      <rgbColor rgb="FF4A7EBB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Summary_Category!C1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Summary_Category!$A$2:$A$5</c:f>
              <c:strCache>
                <c:ptCount val="4"/>
                <c:pt idx="0">
                  <c:v>Electronics</c:v>
                </c:pt>
                <c:pt idx="1">
                  <c:v>Home Appliances</c:v>
                </c:pt>
                <c:pt idx="2">
                  <c:v>Stationery</c:v>
                </c:pt>
                <c:pt idx="3">
                  <c:v>Furniture</c:v>
                </c:pt>
              </c:strCache>
            </c:strRef>
          </c:cat>
          <c:val>
            <c:numRef>
              <c:f>Summary_Category!$C$2:$C$5</c:f>
              <c:numCache>
                <c:formatCode>General</c:formatCode>
                <c:ptCount val="4"/>
                <c:pt idx="0">
                  <c:v>1898</c:v>
                </c:pt>
                <c:pt idx="1">
                  <c:v>4796</c:v>
                </c:pt>
                <c:pt idx="2">
                  <c:v>2009.2</c:v>
                </c:pt>
                <c:pt idx="3">
                  <c:v>25496</c:v>
                </c:pt>
              </c:numCache>
            </c:numRef>
          </c:val>
        </c:ser>
        <c:gapWidth val="150"/>
        <c:overlap val="0"/>
        <c:axId val="76273507"/>
        <c:axId val="92806109"/>
      </c:barChart>
      <c:catAx>
        <c:axId val="762735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806109"/>
        <c:crosses val="autoZero"/>
        <c:auto val="1"/>
        <c:lblAlgn val="ctr"/>
        <c:lblOffset val="100"/>
        <c:noMultiLvlLbl val="0"/>
      </c:catAx>
      <c:valAx>
        <c:axId val="928061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2735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Summary_Monthly!D1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Summary_Monthly!$A$2:$A$4</c:f>
              <c:strCache>
                <c:ptCount val="3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</c:strCache>
            </c:strRef>
          </c:cat>
          <c:val>
            <c:numRef>
              <c:f>Summary_Monthly!$D$2:$D$4</c:f>
              <c:numCache>
                <c:formatCode>General</c:formatCode>
                <c:ptCount val="3"/>
                <c:pt idx="0">
                  <c:v>11794</c:v>
                </c:pt>
                <c:pt idx="1">
                  <c:v>3146</c:v>
                </c:pt>
                <c:pt idx="2">
                  <c:v>19895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2692513"/>
        <c:axId val="69906720"/>
      </c:lineChart>
      <c:catAx>
        <c:axId val="726925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906720"/>
        <c:crosses val="autoZero"/>
        <c:auto val="1"/>
        <c:lblAlgn val="ctr"/>
        <c:lblOffset val="100"/>
        <c:noMultiLvlLbl val="0"/>
      </c:catAx>
      <c:valAx>
        <c:axId val="699067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6925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Summary_OrderStatus!B1</c:f>
              <c:strCache>
                <c:ptCount val="1"/>
                <c:pt idx="0">
                  <c:v>OrderCount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Summary_OrderStatus!$A$2:$A$6</c:f>
              <c:strCache>
                <c:ptCount val="5"/>
                <c:pt idx="0">
                  <c:v>Pending</c:v>
                </c:pt>
                <c:pt idx="1">
                  <c:v>Processing</c:v>
                </c:pt>
                <c:pt idx="2">
                  <c:v>Shipped</c:v>
                </c:pt>
                <c:pt idx="3">
                  <c:v>Delivered</c:v>
                </c:pt>
                <c:pt idx="4">
                  <c:v>Cancelled</c:v>
                </c:pt>
              </c:strCache>
            </c:strRef>
          </c:cat>
          <c:val>
            <c:numRef>
              <c:f>Summary_OrderStatus!$B$2:$B$6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160920</xdr:rowOff>
    </xdr:from>
    <xdr:to>
      <xdr:col>7</xdr:col>
      <xdr:colOff>747720</xdr:colOff>
      <xdr:row>23</xdr:row>
      <xdr:rowOff>182880</xdr:rowOff>
    </xdr:to>
    <xdr:graphicFrame>
      <xdr:nvGraphicFramePr>
        <xdr:cNvPr id="0" name="Chart 1"/>
        <xdr:cNvGraphicFramePr/>
      </xdr:nvGraphicFramePr>
      <xdr:xfrm>
        <a:off x="141120" y="17146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8</xdr:row>
      <xdr:rowOff>160920</xdr:rowOff>
    </xdr:from>
    <xdr:to>
      <xdr:col>17</xdr:col>
      <xdr:colOff>180000</xdr:colOff>
      <xdr:row>23</xdr:row>
      <xdr:rowOff>182880</xdr:rowOff>
    </xdr:to>
    <xdr:graphicFrame>
      <xdr:nvGraphicFramePr>
        <xdr:cNvPr id="1" name="Chart 2"/>
        <xdr:cNvGraphicFramePr/>
      </xdr:nvGraphicFramePr>
      <xdr:xfrm>
        <a:off x="6343560" y="17146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23</xdr:row>
      <xdr:rowOff>160560</xdr:rowOff>
    </xdr:from>
    <xdr:to>
      <xdr:col>7</xdr:col>
      <xdr:colOff>747720</xdr:colOff>
      <xdr:row>38</xdr:row>
      <xdr:rowOff>182880</xdr:rowOff>
    </xdr:to>
    <xdr:graphicFrame>
      <xdr:nvGraphicFramePr>
        <xdr:cNvPr id="2" name="Chart 3"/>
        <xdr:cNvGraphicFramePr/>
      </xdr:nvGraphicFramePr>
      <xdr:xfrm>
        <a:off x="141120" y="457200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awDataTable" displayName="RawDataTable" ref="A1:O17" headerRowCount="1" totalsRowCount="0" totalsRowShown="0">
  <autoFilter ref="A1:O17"/>
  <tableColumns count="15">
    <tableColumn id="1" name="OrderDetailID"/>
    <tableColumn id="2" name="OrderID"/>
    <tableColumn id="3" name="ProductID"/>
    <tableColumn id="4" name="Quantity"/>
    <tableColumn id="5" name="UnitPrice"/>
    <tableColumn id="6" name="Discount"/>
    <tableColumn id="7" name="LineTotal"/>
    <tableColumn id="8" name="OrderDate"/>
    <tableColumn id="9" name="CustomerID"/>
    <tableColumn id="10" name="CustomerName"/>
    <tableColumn id="11" name="Region"/>
    <tableColumn id="12" name="OrderStatus"/>
    <tableColumn id="13" name="OrderPriority"/>
    <tableColumn id="14" name="ProductName"/>
    <tableColumn id="15" name="CategoryNam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1" min="2" style="0" width="11"/>
  </cols>
  <sheetData>
    <row r="2" customFormat="false" ht="17.3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4" customFormat="false" ht="15" hidden="false" customHeight="false" outlineLevel="0" collapsed="false">
      <c r="B4" s="2" t="s">
        <v>1</v>
      </c>
      <c r="C4" s="2"/>
      <c r="D4" s="3" t="s">
        <v>2</v>
      </c>
      <c r="E4" s="3"/>
      <c r="F4" s="4" t="s">
        <v>3</v>
      </c>
      <c r="G4" s="4"/>
      <c r="H4" s="5" t="s">
        <v>4</v>
      </c>
      <c r="I4" s="5"/>
    </row>
    <row r="5" customFormat="false" ht="15" hidden="false" customHeight="false" outlineLevel="0" collapsed="false">
      <c r="B5" s="6" t="n">
        <f aca="false">SUM(Lookup_Orders!E2:E10)</f>
        <v>34835</v>
      </c>
      <c r="C5" s="6"/>
      <c r="D5" s="7" t="n">
        <f aca="false">COUNTA(Lookup_Orders!A2:A10)</f>
        <v>9</v>
      </c>
      <c r="E5" s="7"/>
      <c r="F5" s="8" t="n">
        <f aca="false">COUNTA(Lookup_Customers!A2:A9)</f>
        <v>8</v>
      </c>
      <c r="G5" s="8"/>
      <c r="H5" s="9" t="n">
        <f aca="false">AVERAGE(Lookup_Orders!E2:E10)</f>
        <v>3870.55555555556</v>
      </c>
      <c r="I5" s="9"/>
    </row>
    <row r="6" customFormat="false" ht="15" hidden="false" customHeight="false" outlineLevel="0" collapsed="false">
      <c r="B6" s="6"/>
      <c r="C6" s="6"/>
      <c r="D6" s="7"/>
      <c r="E6" s="7"/>
      <c r="F6" s="8"/>
      <c r="G6" s="8"/>
      <c r="H6" s="9"/>
      <c r="I6" s="9"/>
    </row>
    <row r="8" customFormat="false" ht="15" hidden="false" customHeight="false" outlineLevel="0" collapsed="false">
      <c r="B8" s="10" t="s">
        <v>5</v>
      </c>
      <c r="C8" s="10"/>
      <c r="D8" s="10"/>
      <c r="E8" s="10"/>
      <c r="F8" s="10"/>
      <c r="G8" s="10"/>
      <c r="H8" s="10"/>
      <c r="I8" s="10"/>
      <c r="J8" s="10"/>
      <c r="K8" s="10"/>
    </row>
  </sheetData>
  <mergeCells count="10">
    <mergeCell ref="B2:K2"/>
    <mergeCell ref="B4:C4"/>
    <mergeCell ref="D4:E4"/>
    <mergeCell ref="F4:G4"/>
    <mergeCell ref="H4:I4"/>
    <mergeCell ref="B5:C6"/>
    <mergeCell ref="D5:E6"/>
    <mergeCell ref="F5:G6"/>
    <mergeCell ref="H5:I6"/>
    <mergeCell ref="B8:K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1" t="s">
        <v>6</v>
      </c>
      <c r="B1" s="11" t="s">
        <v>7</v>
      </c>
    </row>
    <row r="2" customFormat="false" ht="15" hidden="false" customHeight="false" outlineLevel="0" collapsed="false">
      <c r="A2" s="12" t="n">
        <v>1</v>
      </c>
      <c r="B2" s="12" t="s">
        <v>8</v>
      </c>
    </row>
    <row r="3" customFormat="false" ht="15" hidden="false" customHeight="false" outlineLevel="0" collapsed="false">
      <c r="A3" s="12" t="n">
        <v>2</v>
      </c>
      <c r="B3" s="12" t="s">
        <v>9</v>
      </c>
    </row>
    <row r="4" customFormat="false" ht="15" hidden="false" customHeight="false" outlineLevel="0" collapsed="false">
      <c r="A4" s="12" t="n">
        <v>3</v>
      </c>
      <c r="B4" s="12" t="s">
        <v>10</v>
      </c>
    </row>
    <row r="5" customFormat="false" ht="15" hidden="false" customHeight="false" outlineLevel="0" collapsed="false">
      <c r="A5" s="12" t="n">
        <v>4</v>
      </c>
      <c r="B5" s="1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1" t="s">
        <v>12</v>
      </c>
      <c r="B1" s="11" t="s">
        <v>13</v>
      </c>
      <c r="C1" s="11" t="s">
        <v>6</v>
      </c>
      <c r="D1" s="11" t="s">
        <v>7</v>
      </c>
      <c r="E1" s="11" t="s">
        <v>14</v>
      </c>
      <c r="G1" s="13" t="s">
        <v>15</v>
      </c>
    </row>
    <row r="2" customFormat="false" ht="15" hidden="false" customHeight="false" outlineLevel="0" collapsed="false">
      <c r="A2" s="12" t="n">
        <v>1</v>
      </c>
      <c r="B2" s="12" t="s">
        <v>16</v>
      </c>
      <c r="C2" s="12" t="n">
        <v>1</v>
      </c>
      <c r="D2" s="12" t="str">
        <f aca="false">VLOOKUP(C2,Lookup_Categories!$A$2:$B$5,2,FALSE())</f>
        <v>Electronics</v>
      </c>
      <c r="E2" s="12" t="n">
        <v>599</v>
      </c>
    </row>
    <row r="3" customFormat="false" ht="15" hidden="false" customHeight="false" outlineLevel="0" collapsed="false">
      <c r="A3" s="12" t="n">
        <v>2</v>
      </c>
      <c r="B3" s="12" t="s">
        <v>17</v>
      </c>
      <c r="C3" s="12" t="n">
        <v>1</v>
      </c>
      <c r="D3" s="12" t="str">
        <f aca="false">VLOOKUP(C3,Lookup_Categories!$A$2:$B$5,2,FALSE())</f>
        <v>Electronics</v>
      </c>
      <c r="E3" s="12" t="n">
        <v>1299</v>
      </c>
    </row>
    <row r="4" customFormat="false" ht="15" hidden="false" customHeight="false" outlineLevel="0" collapsed="false">
      <c r="A4" s="12" t="n">
        <v>3</v>
      </c>
      <c r="B4" s="12" t="s">
        <v>18</v>
      </c>
      <c r="C4" s="12" t="n">
        <v>2</v>
      </c>
      <c r="D4" s="12" t="str">
        <f aca="false">VLOOKUP(C4,Lookup_Categories!$A$2:$B$5,2,FALSE())</f>
        <v>Home Appliances</v>
      </c>
      <c r="E4" s="12" t="n">
        <v>899</v>
      </c>
    </row>
    <row r="5" customFormat="false" ht="15" hidden="false" customHeight="false" outlineLevel="0" collapsed="false">
      <c r="A5" s="12" t="n">
        <v>4</v>
      </c>
      <c r="B5" s="12" t="s">
        <v>19</v>
      </c>
      <c r="C5" s="12" t="n">
        <v>2</v>
      </c>
      <c r="D5" s="12" t="str">
        <f aca="false">VLOOKUP(C5,Lookup_Categories!$A$2:$B$5,2,FALSE())</f>
        <v>Home Appliances</v>
      </c>
      <c r="E5" s="12" t="n">
        <v>1499</v>
      </c>
    </row>
    <row r="6" customFormat="false" ht="15" hidden="false" customHeight="false" outlineLevel="0" collapsed="false">
      <c r="A6" s="12" t="n">
        <v>5</v>
      </c>
      <c r="B6" s="12" t="s">
        <v>20</v>
      </c>
      <c r="C6" s="12" t="n">
        <v>3</v>
      </c>
      <c r="D6" s="12" t="str">
        <f aca="false">VLOOKUP(C6,Lookup_Categories!$A$2:$B$5,2,FALSE())</f>
        <v>Stationery</v>
      </c>
      <c r="E6" s="12" t="n">
        <v>249</v>
      </c>
    </row>
    <row r="7" customFormat="false" ht="15" hidden="false" customHeight="false" outlineLevel="0" collapsed="false">
      <c r="A7" s="12" t="n">
        <v>6</v>
      </c>
      <c r="B7" s="12" t="s">
        <v>21</v>
      </c>
      <c r="C7" s="12" t="n">
        <v>3</v>
      </c>
      <c r="D7" s="12" t="str">
        <f aca="false">VLOOKUP(C7,Lookup_Categories!$A$2:$B$5,2,FALSE())</f>
        <v>Stationery</v>
      </c>
      <c r="E7" s="12" t="n">
        <v>149</v>
      </c>
    </row>
    <row r="8" customFormat="false" ht="15" hidden="false" customHeight="false" outlineLevel="0" collapsed="false">
      <c r="A8" s="12" t="n">
        <v>7</v>
      </c>
      <c r="B8" s="12" t="s">
        <v>22</v>
      </c>
      <c r="C8" s="12" t="n">
        <v>4</v>
      </c>
      <c r="D8" s="12" t="str">
        <f aca="false">VLOOKUP(C8,Lookup_Categories!$A$2:$B$5,2,FALSE())</f>
        <v>Furniture</v>
      </c>
      <c r="E8" s="12" t="n">
        <v>5999</v>
      </c>
    </row>
    <row r="9" customFormat="false" ht="15" hidden="false" customHeight="false" outlineLevel="0" collapsed="false">
      <c r="A9" s="12" t="n">
        <v>8</v>
      </c>
      <c r="B9" s="12" t="s">
        <v>23</v>
      </c>
      <c r="C9" s="12" t="n">
        <v>4</v>
      </c>
      <c r="D9" s="12" t="str">
        <f aca="false">VLOOKUP(C9,Lookup_Categories!$A$2:$B$5,2,FALSE())</f>
        <v>Furniture</v>
      </c>
      <c r="E9" s="12" t="n">
        <v>7499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11" t="s">
        <v>24</v>
      </c>
      <c r="B1" s="11" t="s">
        <v>25</v>
      </c>
      <c r="D1" s="13" t="s">
        <v>26</v>
      </c>
    </row>
    <row r="2" customFormat="false" ht="15" hidden="false" customHeight="false" outlineLevel="0" collapsed="false">
      <c r="A2" s="12" t="s">
        <v>27</v>
      </c>
      <c r="B2" s="12" t="s">
        <v>28</v>
      </c>
    </row>
    <row r="3" customFormat="false" ht="15" hidden="false" customHeight="false" outlineLevel="0" collapsed="false">
      <c r="A3" s="12" t="s">
        <v>29</v>
      </c>
      <c r="B3" s="12" t="s">
        <v>28</v>
      </c>
    </row>
    <row r="4" customFormat="false" ht="15" hidden="false" customHeight="false" outlineLevel="0" collapsed="false">
      <c r="A4" s="12" t="s">
        <v>30</v>
      </c>
      <c r="B4" s="12" t="s">
        <v>31</v>
      </c>
    </row>
    <row r="5" customFormat="false" ht="15" hidden="false" customHeight="false" outlineLevel="0" collapsed="false">
      <c r="A5" s="12" t="s">
        <v>32</v>
      </c>
      <c r="B5" s="12" t="s">
        <v>31</v>
      </c>
    </row>
    <row r="6" customFormat="false" ht="15" hidden="false" customHeight="false" outlineLevel="0" collapsed="false">
      <c r="A6" s="12" t="s">
        <v>33</v>
      </c>
      <c r="B6" s="12" t="s">
        <v>34</v>
      </c>
    </row>
    <row r="7" customFormat="false" ht="15" hidden="false" customHeight="false" outlineLevel="0" collapsed="false">
      <c r="A7" s="12" t="s">
        <v>35</v>
      </c>
      <c r="B7" s="12" t="s">
        <v>34</v>
      </c>
    </row>
    <row r="8" customFormat="false" ht="15" hidden="false" customHeight="false" outlineLevel="0" collapsed="false">
      <c r="A8" s="12" t="s">
        <v>36</v>
      </c>
      <c r="B8" s="12" t="s">
        <v>37</v>
      </c>
    </row>
    <row r="9" customFormat="false" ht="15" hidden="false" customHeight="false" outlineLevel="0" collapsed="false">
      <c r="A9" s="12" t="s">
        <v>38</v>
      </c>
      <c r="B9" s="1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1" t="s">
        <v>39</v>
      </c>
      <c r="B1" s="11" t="s">
        <v>40</v>
      </c>
      <c r="C1" s="11" t="s">
        <v>41</v>
      </c>
      <c r="D1" s="11" t="s">
        <v>24</v>
      </c>
      <c r="E1" s="11" t="s">
        <v>25</v>
      </c>
      <c r="F1" s="11" t="s">
        <v>42</v>
      </c>
    </row>
    <row r="2" customFormat="false" ht="15" hidden="false" customHeight="false" outlineLevel="0" collapsed="false">
      <c r="A2" s="12" t="n">
        <v>1</v>
      </c>
      <c r="B2" s="12" t="s">
        <v>43</v>
      </c>
      <c r="C2" s="12" t="s">
        <v>44</v>
      </c>
      <c r="D2" s="12" t="s">
        <v>27</v>
      </c>
      <c r="E2" s="12" t="str">
        <f aca="false">VLOOKUP(D2,Lookup_StateRegion!$A$2:$B$9,2,FALSE())</f>
        <v>West</v>
      </c>
      <c r="F2" s="12" t="s">
        <v>45</v>
      </c>
    </row>
    <row r="3" customFormat="false" ht="15" hidden="false" customHeight="false" outlineLevel="0" collapsed="false">
      <c r="A3" s="12" t="n">
        <v>2</v>
      </c>
      <c r="B3" s="12" t="s">
        <v>46</v>
      </c>
      <c r="C3" s="12" t="s">
        <v>44</v>
      </c>
      <c r="D3" s="12" t="s">
        <v>27</v>
      </c>
      <c r="E3" s="12" t="str">
        <f aca="false">VLOOKUP(D3,Lookup_StateRegion!$A$2:$B$9,2,FALSE())</f>
        <v>West</v>
      </c>
      <c r="F3" s="12" t="s">
        <v>47</v>
      </c>
    </row>
    <row r="4" customFormat="false" ht="15" hidden="false" customHeight="false" outlineLevel="0" collapsed="false">
      <c r="A4" s="12" t="n">
        <v>3</v>
      </c>
      <c r="B4" s="12" t="s">
        <v>48</v>
      </c>
      <c r="C4" s="12" t="s">
        <v>44</v>
      </c>
      <c r="D4" s="12" t="s">
        <v>27</v>
      </c>
      <c r="E4" s="12" t="str">
        <f aca="false">VLOOKUP(D4,Lookup_StateRegion!$A$2:$B$9,2,FALSE())</f>
        <v>West</v>
      </c>
      <c r="F4" s="12" t="s">
        <v>49</v>
      </c>
    </row>
    <row r="5" customFormat="false" ht="15" hidden="false" customHeight="false" outlineLevel="0" collapsed="false">
      <c r="A5" s="12" t="n">
        <v>4</v>
      </c>
      <c r="B5" s="12" t="s">
        <v>50</v>
      </c>
      <c r="C5" s="12" t="s">
        <v>44</v>
      </c>
      <c r="D5" s="12" t="s">
        <v>27</v>
      </c>
      <c r="E5" s="12" t="str">
        <f aca="false">VLOOKUP(D5,Lookup_StateRegion!$A$2:$B$9,2,FALSE())</f>
        <v>West</v>
      </c>
      <c r="F5" s="12" t="s">
        <v>45</v>
      </c>
    </row>
    <row r="6" customFormat="false" ht="15" hidden="false" customHeight="false" outlineLevel="0" collapsed="false">
      <c r="A6" s="12" t="n">
        <v>5</v>
      </c>
      <c r="B6" s="12" t="s">
        <v>51</v>
      </c>
      <c r="C6" s="12" t="s">
        <v>44</v>
      </c>
      <c r="D6" s="12" t="s">
        <v>27</v>
      </c>
      <c r="E6" s="12" t="str">
        <f aca="false">VLOOKUP(D6,Lookup_StateRegion!$A$2:$B$9,2,FALSE())</f>
        <v>West</v>
      </c>
      <c r="F6" s="12" t="s">
        <v>45</v>
      </c>
    </row>
    <row r="7" customFormat="false" ht="15" hidden="false" customHeight="false" outlineLevel="0" collapsed="false">
      <c r="A7" s="12" t="n">
        <v>6</v>
      </c>
      <c r="B7" s="12" t="s">
        <v>52</v>
      </c>
      <c r="C7" s="12" t="s">
        <v>44</v>
      </c>
      <c r="D7" s="12" t="s">
        <v>27</v>
      </c>
      <c r="E7" s="12" t="str">
        <f aca="false">VLOOKUP(D7,Lookup_StateRegion!$A$2:$B$9,2,FALSE())</f>
        <v>West</v>
      </c>
      <c r="F7" s="12" t="s">
        <v>47</v>
      </c>
    </row>
    <row r="8" customFormat="false" ht="15" hidden="false" customHeight="false" outlineLevel="0" collapsed="false">
      <c r="A8" s="12" t="n">
        <v>7</v>
      </c>
      <c r="B8" s="12" t="s">
        <v>53</v>
      </c>
      <c r="C8" s="12" t="s">
        <v>44</v>
      </c>
      <c r="D8" s="12" t="s">
        <v>27</v>
      </c>
      <c r="E8" s="12" t="str">
        <f aca="false">VLOOKUP(D8,Lookup_StateRegion!$A$2:$B$9,2,FALSE())</f>
        <v>West</v>
      </c>
      <c r="F8" s="12" t="s">
        <v>49</v>
      </c>
    </row>
    <row r="9" customFormat="false" ht="15" hidden="false" customHeight="false" outlineLevel="0" collapsed="false">
      <c r="A9" s="12" t="n">
        <v>8</v>
      </c>
      <c r="B9" s="12" t="s">
        <v>54</v>
      </c>
      <c r="C9" s="12" t="s">
        <v>44</v>
      </c>
      <c r="D9" s="12" t="s">
        <v>27</v>
      </c>
      <c r="E9" s="12" t="str">
        <f aca="false">VLOOKUP(D9,Lookup_StateRegion!$A$2:$B$9,2,FALSE())</f>
        <v>West</v>
      </c>
      <c r="F9" s="12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6" min="4" style="0" width="14"/>
    <col collapsed="false" customWidth="true" hidden="false" outlineLevel="0" max="7" min="7" style="0" width="34"/>
  </cols>
  <sheetData>
    <row r="1" customFormat="false" ht="15" hidden="false" customHeight="false" outlineLevel="0" collapsed="false">
      <c r="A1" s="11" t="s">
        <v>55</v>
      </c>
      <c r="B1" s="11" t="s">
        <v>56</v>
      </c>
      <c r="C1" s="11" t="s">
        <v>39</v>
      </c>
      <c r="D1" s="11" t="s">
        <v>57</v>
      </c>
      <c r="E1" s="11" t="s">
        <v>58</v>
      </c>
      <c r="F1" s="11" t="s">
        <v>59</v>
      </c>
      <c r="G1" s="11" t="s">
        <v>60</v>
      </c>
      <c r="I1" s="13" t="s">
        <v>61</v>
      </c>
    </row>
    <row r="2" customFormat="false" ht="15" hidden="false" customHeight="false" outlineLevel="0" collapsed="false">
      <c r="A2" s="12" t="n">
        <v>1</v>
      </c>
      <c r="B2" s="14" t="n">
        <v>45296</v>
      </c>
      <c r="C2" s="12" t="n">
        <v>1</v>
      </c>
      <c r="D2" s="12" t="s">
        <v>62</v>
      </c>
      <c r="E2" s="12" t="n">
        <v>1898</v>
      </c>
      <c r="F2" s="12" t="str">
        <f aca="false">IF(E2&gt;1000,"VIP","Standard")</f>
        <v>VIP</v>
      </c>
      <c r="G2" s="12"/>
    </row>
    <row r="3" customFormat="false" ht="15" hidden="false" customHeight="false" outlineLevel="0" collapsed="false">
      <c r="A3" s="12" t="n">
        <v>2</v>
      </c>
      <c r="B3" s="14" t="n">
        <v>45301</v>
      </c>
      <c r="C3" s="12" t="n">
        <v>2</v>
      </c>
      <c r="D3" s="12" t="s">
        <v>62</v>
      </c>
      <c r="E3" s="12" t="n">
        <v>6898</v>
      </c>
      <c r="F3" s="12" t="str">
        <f aca="false">IF(E3&gt;1000,"VIP","Standard")</f>
        <v>VIP</v>
      </c>
      <c r="G3" s="12"/>
    </row>
    <row r="4" customFormat="false" ht="15" hidden="false" customHeight="false" outlineLevel="0" collapsed="false">
      <c r="A4" s="12" t="n">
        <v>3</v>
      </c>
      <c r="B4" s="14" t="n">
        <v>45309</v>
      </c>
      <c r="C4" s="12" t="n">
        <v>3</v>
      </c>
      <c r="D4" s="12" t="s">
        <v>63</v>
      </c>
      <c r="E4" s="12" t="n">
        <v>2998</v>
      </c>
      <c r="F4" s="12" t="str">
        <f aca="false">IF(E4&gt;1000,"VIP","Standard")</f>
        <v>VIP</v>
      </c>
      <c r="G4" s="12"/>
    </row>
    <row r="5" customFormat="false" ht="15" hidden="false" customHeight="false" outlineLevel="0" collapsed="false">
      <c r="A5" s="12" t="n">
        <v>4</v>
      </c>
      <c r="B5" s="14" t="n">
        <v>45324</v>
      </c>
      <c r="C5" s="12" t="n">
        <v>4</v>
      </c>
      <c r="D5" s="12" t="s">
        <v>62</v>
      </c>
      <c r="E5" s="12" t="n">
        <v>748</v>
      </c>
      <c r="F5" s="12" t="str">
        <f aca="false">IF(E5&gt;1000,"VIP","Standard")</f>
        <v>Standard</v>
      </c>
      <c r="G5" s="12"/>
    </row>
    <row r="6" customFormat="false" ht="15" hidden="false" customHeight="false" outlineLevel="0" collapsed="false">
      <c r="A6" s="12" t="n">
        <v>5</v>
      </c>
      <c r="B6" s="14" t="n">
        <v>45336</v>
      </c>
      <c r="C6" s="12" t="n">
        <v>5</v>
      </c>
      <c r="D6" s="12" t="s">
        <v>64</v>
      </c>
      <c r="E6" s="12" t="n">
        <v>1499</v>
      </c>
      <c r="F6" s="12" t="str">
        <f aca="false">IF(E6&gt;1000,"VIP","Standard")</f>
        <v>VIP</v>
      </c>
      <c r="G6" s="12" t="s">
        <v>65</v>
      </c>
    </row>
    <row r="7" customFormat="false" ht="15" hidden="false" customHeight="false" outlineLevel="0" collapsed="false">
      <c r="A7" s="12" t="n">
        <v>6</v>
      </c>
      <c r="B7" s="14" t="n">
        <v>45347</v>
      </c>
      <c r="C7" s="12" t="n">
        <v>1</v>
      </c>
      <c r="D7" s="12" t="s">
        <v>62</v>
      </c>
      <c r="E7" s="12" t="n">
        <v>899</v>
      </c>
      <c r="F7" s="12" t="str">
        <f aca="false">IF(E7&gt;1000,"VIP","Standard")</f>
        <v>Standard</v>
      </c>
      <c r="G7" s="12"/>
    </row>
    <row r="8" customFormat="false" ht="15" hidden="false" customHeight="false" outlineLevel="0" collapsed="false">
      <c r="A8" s="12" t="n">
        <v>7</v>
      </c>
      <c r="B8" s="14" t="n">
        <v>45354</v>
      </c>
      <c r="C8" s="12" t="n">
        <v>6</v>
      </c>
      <c r="D8" s="12" t="s">
        <v>66</v>
      </c>
      <c r="E8" s="12" t="n">
        <v>7499</v>
      </c>
      <c r="F8" s="12" t="str">
        <f aca="false">IF(E8&gt;1000,"VIP","Standard")</f>
        <v>VIP</v>
      </c>
      <c r="G8" s="12"/>
    </row>
    <row r="9" customFormat="false" ht="15" hidden="false" customHeight="false" outlineLevel="0" collapsed="false">
      <c r="A9" s="12" t="n">
        <v>8</v>
      </c>
      <c r="B9" s="14" t="n">
        <v>45366</v>
      </c>
      <c r="C9" s="12" t="n">
        <v>7</v>
      </c>
      <c r="D9" s="12" t="s">
        <v>62</v>
      </c>
      <c r="E9" s="12" t="n">
        <v>11998</v>
      </c>
      <c r="F9" s="12" t="str">
        <f aca="false">IF(E9&gt;1000,"VIP","Standard")</f>
        <v>VIP</v>
      </c>
      <c r="G9" s="12"/>
    </row>
    <row r="10" customFormat="false" ht="15" hidden="false" customHeight="false" outlineLevel="0" collapsed="false">
      <c r="A10" s="12" t="n">
        <v>9</v>
      </c>
      <c r="B10" s="14" t="n">
        <v>45372</v>
      </c>
      <c r="C10" s="12" t="n">
        <v>8</v>
      </c>
      <c r="D10" s="12" t="s">
        <v>67</v>
      </c>
      <c r="E10" s="12" t="n">
        <v>398</v>
      </c>
      <c r="F10" s="12" t="str">
        <f aca="false">IF(E10&gt;1000,"VIP","Standard")</f>
        <v>Standard</v>
      </c>
      <c r="G10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6"/>
    <col collapsed="false" customWidth="true" hidden="false" outlineLevel="0" max="11" min="11" style="0" width="10"/>
    <col collapsed="false" customWidth="true" hidden="false" outlineLevel="0" max="13" min="12" style="0" width="12"/>
    <col collapsed="false" customWidth="true" hidden="false" outlineLevel="0" max="14" min="14" style="0" width="20"/>
    <col collapsed="false" customWidth="true" hidden="false" outlineLevel="0" max="15" min="15" style="0" width="16"/>
  </cols>
  <sheetData>
    <row r="1" customFormat="false" ht="15" hidden="false" customHeight="false" outlineLevel="0" collapsed="false">
      <c r="A1" s="11" t="s">
        <v>68</v>
      </c>
      <c r="B1" s="11" t="s">
        <v>55</v>
      </c>
      <c r="C1" s="11" t="s">
        <v>12</v>
      </c>
      <c r="D1" s="11" t="s">
        <v>69</v>
      </c>
      <c r="E1" s="11" t="s">
        <v>14</v>
      </c>
      <c r="F1" s="11" t="s">
        <v>70</v>
      </c>
      <c r="G1" s="11" t="s">
        <v>71</v>
      </c>
      <c r="H1" s="11" t="s">
        <v>56</v>
      </c>
      <c r="I1" s="11" t="s">
        <v>39</v>
      </c>
      <c r="J1" s="11" t="s">
        <v>40</v>
      </c>
      <c r="K1" s="11" t="s">
        <v>25</v>
      </c>
      <c r="L1" s="11" t="s">
        <v>72</v>
      </c>
      <c r="M1" s="11" t="s">
        <v>59</v>
      </c>
      <c r="N1" s="11" t="s">
        <v>13</v>
      </c>
      <c r="O1" s="11" t="s">
        <v>7</v>
      </c>
    </row>
    <row r="2" customFormat="false" ht="15" hidden="false" customHeight="false" outlineLevel="0" collapsed="false">
      <c r="A2" s="12" t="n">
        <v>1</v>
      </c>
      <c r="B2" s="12" t="n">
        <v>1</v>
      </c>
      <c r="C2" s="12" t="n">
        <v>1</v>
      </c>
      <c r="D2" s="12" t="n">
        <v>1</v>
      </c>
      <c r="E2" s="12" t="n">
        <v>599</v>
      </c>
      <c r="F2" s="12" t="n">
        <v>0</v>
      </c>
      <c r="G2" s="12" t="n">
        <f aca="false">D2*E2*(1-F2/100)</f>
        <v>599</v>
      </c>
      <c r="H2" s="14" t="n">
        <f aca="false">VLOOKUP(B2,Lookup_Orders!$A$2:$G$10,2,FALSE())</f>
        <v>45296</v>
      </c>
      <c r="I2" s="12" t="n">
        <f aca="false">VLOOKUP(B2,Lookup_Orders!$A$2:$G$10,3,FALSE())</f>
        <v>1</v>
      </c>
      <c r="J2" s="12" t="str">
        <f aca="false">VLOOKUP(I2,Lookup_Customers!$A$2:$F$9,2,FALSE())</f>
        <v>Rohan Sharma</v>
      </c>
      <c r="K2" s="12" t="str">
        <f aca="false">VLOOKUP(I2,Lookup_Customers!$A$2:$F$9,5,FALSE())</f>
        <v>West</v>
      </c>
      <c r="L2" s="12" t="str">
        <f aca="false">VLOOKUP(B2,Lookup_Orders!$A$2:$G$10,4,FALSE())</f>
        <v>Delivered</v>
      </c>
      <c r="M2" s="12" t="str">
        <f aca="false">VLOOKUP(B2,Lookup_Orders!$A$2:$G$10,6,FALSE())</f>
        <v>VIP</v>
      </c>
      <c r="N2" s="12" t="str">
        <f aca="false">VLOOKUP(C2,Lookup_Products!$A$2:$E$9,2,FALSE())</f>
        <v>Wireless Mouse</v>
      </c>
      <c r="O2" s="12" t="str">
        <f aca="false">VLOOKUP(C2,Lookup_Products!$A$2:$E$9,4,FALSE())</f>
        <v>Electronics</v>
      </c>
    </row>
    <row r="3" customFormat="false" ht="15" hidden="false" customHeight="false" outlineLevel="0" collapsed="false">
      <c r="A3" s="12" t="n">
        <v>2</v>
      </c>
      <c r="B3" s="12" t="n">
        <v>1</v>
      </c>
      <c r="C3" s="12" t="n">
        <v>5</v>
      </c>
      <c r="D3" s="12" t="n">
        <v>1</v>
      </c>
      <c r="E3" s="12" t="n">
        <v>249</v>
      </c>
      <c r="F3" s="12" t="n">
        <v>0</v>
      </c>
      <c r="G3" s="12" t="n">
        <f aca="false">D3*E3*(1-F3/100)</f>
        <v>249</v>
      </c>
      <c r="H3" s="14" t="n">
        <f aca="false">VLOOKUP(B3,Lookup_Orders!$A$2:$G$10,2,FALSE())</f>
        <v>45296</v>
      </c>
      <c r="I3" s="12" t="n">
        <f aca="false">VLOOKUP(B3,Lookup_Orders!$A$2:$G$10,3,FALSE())</f>
        <v>1</v>
      </c>
      <c r="J3" s="12" t="str">
        <f aca="false">VLOOKUP(I3,Lookup_Customers!$A$2:$F$9,2,FALSE())</f>
        <v>Rohan Sharma</v>
      </c>
      <c r="K3" s="12" t="str">
        <f aca="false">VLOOKUP(I3,Lookup_Customers!$A$2:$F$9,5,FALSE())</f>
        <v>West</v>
      </c>
      <c r="L3" s="12" t="str">
        <f aca="false">VLOOKUP(B3,Lookup_Orders!$A$2:$G$10,4,FALSE())</f>
        <v>Delivered</v>
      </c>
      <c r="M3" s="12" t="str">
        <f aca="false">VLOOKUP(B3,Lookup_Orders!$A$2:$G$10,6,FALSE())</f>
        <v>VIP</v>
      </c>
      <c r="N3" s="12" t="str">
        <f aca="false">VLOOKUP(C3,Lookup_Products!$A$2:$E$9,2,FALSE())</f>
        <v>Notebook Pack (5pcs)</v>
      </c>
      <c r="O3" s="12" t="str">
        <f aca="false">VLOOKUP(C3,Lookup_Products!$A$2:$E$9,4,FALSE())</f>
        <v>Stationery</v>
      </c>
    </row>
    <row r="4" customFormat="false" ht="15" hidden="false" customHeight="false" outlineLevel="0" collapsed="false">
      <c r="A4" s="12" t="n">
        <v>3</v>
      </c>
      <c r="B4" s="12" t="n">
        <v>1</v>
      </c>
      <c r="C4" s="12" t="n">
        <v>6</v>
      </c>
      <c r="D4" s="12" t="n">
        <v>1</v>
      </c>
      <c r="E4" s="12" t="n">
        <v>149</v>
      </c>
      <c r="F4" s="12" t="n">
        <v>0</v>
      </c>
      <c r="G4" s="12" t="n">
        <f aca="false">D4*E4*(1-F4/100)</f>
        <v>149</v>
      </c>
      <c r="H4" s="14" t="n">
        <f aca="false">VLOOKUP(B4,Lookup_Orders!$A$2:$G$10,2,FALSE())</f>
        <v>45296</v>
      </c>
      <c r="I4" s="12" t="n">
        <f aca="false">VLOOKUP(B4,Lookup_Orders!$A$2:$G$10,3,FALSE())</f>
        <v>1</v>
      </c>
      <c r="J4" s="12" t="str">
        <f aca="false">VLOOKUP(I4,Lookup_Customers!$A$2:$F$9,2,FALSE())</f>
        <v>Rohan Sharma</v>
      </c>
      <c r="K4" s="12" t="str">
        <f aca="false">VLOOKUP(I4,Lookup_Customers!$A$2:$F$9,5,FALSE())</f>
        <v>West</v>
      </c>
      <c r="L4" s="12" t="str">
        <f aca="false">VLOOKUP(B4,Lookup_Orders!$A$2:$G$10,4,FALSE())</f>
        <v>Delivered</v>
      </c>
      <c r="M4" s="12" t="str">
        <f aca="false">VLOOKUP(B4,Lookup_Orders!$A$2:$G$10,6,FALSE())</f>
        <v>VIP</v>
      </c>
      <c r="N4" s="12" t="str">
        <f aca="false">VLOOKUP(C4,Lookup_Products!$A$2:$E$9,2,FALSE())</f>
        <v>Gel Pen Box (10pcs)</v>
      </c>
      <c r="O4" s="12" t="str">
        <f aca="false">VLOOKUP(C4,Lookup_Products!$A$2:$E$9,4,FALSE())</f>
        <v>Stationery</v>
      </c>
    </row>
    <row r="5" customFormat="false" ht="15" hidden="false" customHeight="false" outlineLevel="0" collapsed="false">
      <c r="A5" s="12" t="n">
        <v>4</v>
      </c>
      <c r="B5" s="12" t="n">
        <v>2</v>
      </c>
      <c r="C5" s="12" t="n">
        <v>2</v>
      </c>
      <c r="D5" s="12" t="n">
        <v>1</v>
      </c>
      <c r="E5" s="12" t="n">
        <v>1299</v>
      </c>
      <c r="F5" s="12" t="n">
        <v>0</v>
      </c>
      <c r="G5" s="12" t="n">
        <f aca="false">D5*E5*(1-F5/100)</f>
        <v>1299</v>
      </c>
      <c r="H5" s="14" t="n">
        <f aca="false">VLOOKUP(B5,Lookup_Orders!$A$2:$G$10,2,FALSE())</f>
        <v>45301</v>
      </c>
      <c r="I5" s="12" t="n">
        <f aca="false">VLOOKUP(B5,Lookup_Orders!$A$2:$G$10,3,FALSE())</f>
        <v>2</v>
      </c>
      <c r="J5" s="12" t="str">
        <f aca="false">VLOOKUP(I5,Lookup_Customers!$A$2:$F$9,2,FALSE())</f>
        <v>Priya Verma</v>
      </c>
      <c r="K5" s="12" t="str">
        <f aca="false">VLOOKUP(I5,Lookup_Customers!$A$2:$F$9,5,FALSE())</f>
        <v>West</v>
      </c>
      <c r="L5" s="12" t="str">
        <f aca="false">VLOOKUP(B5,Lookup_Orders!$A$2:$G$10,4,FALSE())</f>
        <v>Delivered</v>
      </c>
      <c r="M5" s="12" t="str">
        <f aca="false">VLOOKUP(B5,Lookup_Orders!$A$2:$G$10,6,FALSE())</f>
        <v>VIP</v>
      </c>
      <c r="N5" s="12" t="str">
        <f aca="false">VLOOKUP(C5,Lookup_Products!$A$2:$E$9,2,FALSE())</f>
        <v>Bluetooth Keyboard</v>
      </c>
      <c r="O5" s="12" t="str">
        <f aca="false">VLOOKUP(C5,Lookup_Products!$A$2:$E$9,4,FALSE())</f>
        <v>Electronics</v>
      </c>
    </row>
    <row r="6" customFormat="false" ht="15" hidden="false" customHeight="false" outlineLevel="0" collapsed="false">
      <c r="A6" s="12" t="n">
        <v>5</v>
      </c>
      <c r="B6" s="12" t="n">
        <v>2</v>
      </c>
      <c r="C6" s="12" t="n">
        <v>7</v>
      </c>
      <c r="D6" s="12" t="n">
        <v>1</v>
      </c>
      <c r="E6" s="12" t="n">
        <v>5999</v>
      </c>
      <c r="F6" s="12" t="n">
        <v>0</v>
      </c>
      <c r="G6" s="12" t="n">
        <f aca="false">D6*E6*(1-F6/100)</f>
        <v>5999</v>
      </c>
      <c r="H6" s="14" t="n">
        <f aca="false">VLOOKUP(B6,Lookup_Orders!$A$2:$G$10,2,FALSE())</f>
        <v>45301</v>
      </c>
      <c r="I6" s="12" t="n">
        <f aca="false">VLOOKUP(B6,Lookup_Orders!$A$2:$G$10,3,FALSE())</f>
        <v>2</v>
      </c>
      <c r="J6" s="12" t="str">
        <f aca="false">VLOOKUP(I6,Lookup_Customers!$A$2:$F$9,2,FALSE())</f>
        <v>Priya Verma</v>
      </c>
      <c r="K6" s="12" t="str">
        <f aca="false">VLOOKUP(I6,Lookup_Customers!$A$2:$F$9,5,FALSE())</f>
        <v>West</v>
      </c>
      <c r="L6" s="12" t="str">
        <f aca="false">VLOOKUP(B6,Lookup_Orders!$A$2:$G$10,4,FALSE())</f>
        <v>Delivered</v>
      </c>
      <c r="M6" s="12" t="str">
        <f aca="false">VLOOKUP(B6,Lookup_Orders!$A$2:$G$10,6,FALSE())</f>
        <v>VIP</v>
      </c>
      <c r="N6" s="12" t="str">
        <f aca="false">VLOOKUP(C6,Lookup_Products!$A$2:$E$9,2,FALSE())</f>
        <v>Office Chair</v>
      </c>
      <c r="O6" s="12" t="str">
        <f aca="false">VLOOKUP(C6,Lookup_Products!$A$2:$E$9,4,FALSE())</f>
        <v>Furniture</v>
      </c>
    </row>
    <row r="7" customFormat="false" ht="15" hidden="false" customHeight="false" outlineLevel="0" collapsed="false">
      <c r="A7" s="12" t="n">
        <v>6</v>
      </c>
      <c r="B7" s="12" t="n">
        <v>3</v>
      </c>
      <c r="C7" s="12" t="n">
        <v>3</v>
      </c>
      <c r="D7" s="12" t="n">
        <v>1</v>
      </c>
      <c r="E7" s="12" t="n">
        <v>899</v>
      </c>
      <c r="F7" s="12" t="n">
        <v>0</v>
      </c>
      <c r="G7" s="12" t="n">
        <f aca="false">D7*E7*(1-F7/100)</f>
        <v>899</v>
      </c>
      <c r="H7" s="14" t="n">
        <f aca="false">VLOOKUP(B7,Lookup_Orders!$A$2:$G$10,2,FALSE())</f>
        <v>45309</v>
      </c>
      <c r="I7" s="12" t="n">
        <f aca="false">VLOOKUP(B7,Lookup_Orders!$A$2:$G$10,3,FALSE())</f>
        <v>3</v>
      </c>
      <c r="J7" s="12" t="str">
        <f aca="false">VLOOKUP(I7,Lookup_Customers!$A$2:$F$9,2,FALSE())</f>
        <v>Amit Deshmukh</v>
      </c>
      <c r="K7" s="12" t="str">
        <f aca="false">VLOOKUP(I7,Lookup_Customers!$A$2:$F$9,5,FALSE())</f>
        <v>West</v>
      </c>
      <c r="L7" s="12" t="str">
        <f aca="false">VLOOKUP(B7,Lookup_Orders!$A$2:$G$10,4,FALSE())</f>
        <v>Processing</v>
      </c>
      <c r="M7" s="12" t="str">
        <f aca="false">VLOOKUP(B7,Lookup_Orders!$A$2:$G$10,6,FALSE())</f>
        <v>VIP</v>
      </c>
      <c r="N7" s="12" t="str">
        <f aca="false">VLOOKUP(C7,Lookup_Products!$A$2:$E$9,2,FALSE())</f>
        <v>LED Desk Lamp</v>
      </c>
      <c r="O7" s="12" t="str">
        <f aca="false">VLOOKUP(C7,Lookup_Products!$A$2:$E$9,4,FALSE())</f>
        <v>Home Appliances</v>
      </c>
    </row>
    <row r="8" customFormat="false" ht="15" hidden="false" customHeight="false" outlineLevel="0" collapsed="false">
      <c r="A8" s="12" t="n">
        <v>7</v>
      </c>
      <c r="B8" s="12" t="n">
        <v>3</v>
      </c>
      <c r="C8" s="12" t="n">
        <v>4</v>
      </c>
      <c r="D8" s="12" t="n">
        <v>1</v>
      </c>
      <c r="E8" s="12" t="n">
        <v>1499</v>
      </c>
      <c r="F8" s="12" t="n">
        <v>0</v>
      </c>
      <c r="G8" s="12" t="n">
        <f aca="false">D8*E8*(1-F8/100)</f>
        <v>1499</v>
      </c>
      <c r="H8" s="14" t="n">
        <f aca="false">VLOOKUP(B8,Lookup_Orders!$A$2:$G$10,2,FALSE())</f>
        <v>45309</v>
      </c>
      <c r="I8" s="12" t="n">
        <f aca="false">VLOOKUP(B8,Lookup_Orders!$A$2:$G$10,3,FALSE())</f>
        <v>3</v>
      </c>
      <c r="J8" s="12" t="str">
        <f aca="false">VLOOKUP(I8,Lookup_Customers!$A$2:$F$9,2,FALSE())</f>
        <v>Amit Deshmukh</v>
      </c>
      <c r="K8" s="12" t="str">
        <f aca="false">VLOOKUP(I8,Lookup_Customers!$A$2:$F$9,5,FALSE())</f>
        <v>West</v>
      </c>
      <c r="L8" s="12" t="str">
        <f aca="false">VLOOKUP(B8,Lookup_Orders!$A$2:$G$10,4,FALSE())</f>
        <v>Processing</v>
      </c>
      <c r="M8" s="12" t="str">
        <f aca="false">VLOOKUP(B8,Lookup_Orders!$A$2:$G$10,6,FALSE())</f>
        <v>VIP</v>
      </c>
      <c r="N8" s="12" t="str">
        <f aca="false">VLOOKUP(C8,Lookup_Products!$A$2:$E$9,2,FALSE())</f>
        <v>Electric Kettle</v>
      </c>
      <c r="O8" s="12" t="str">
        <f aca="false">VLOOKUP(C8,Lookup_Products!$A$2:$E$9,4,FALSE())</f>
        <v>Home Appliances</v>
      </c>
    </row>
    <row r="9" customFormat="false" ht="15" hidden="false" customHeight="false" outlineLevel="0" collapsed="false">
      <c r="A9" s="12" t="n">
        <v>8</v>
      </c>
      <c r="B9" s="12" t="n">
        <v>3</v>
      </c>
      <c r="C9" s="12" t="n">
        <v>6</v>
      </c>
      <c r="D9" s="12" t="n">
        <v>4</v>
      </c>
      <c r="E9" s="12" t="n">
        <v>149</v>
      </c>
      <c r="F9" s="12" t="n">
        <v>5</v>
      </c>
      <c r="G9" s="12" t="n">
        <f aca="false">D9*E9*(1-F9/100)</f>
        <v>566.2</v>
      </c>
      <c r="H9" s="14" t="n">
        <f aca="false">VLOOKUP(B9,Lookup_Orders!$A$2:$G$10,2,FALSE())</f>
        <v>45309</v>
      </c>
      <c r="I9" s="12" t="n">
        <f aca="false">VLOOKUP(B9,Lookup_Orders!$A$2:$G$10,3,FALSE())</f>
        <v>3</v>
      </c>
      <c r="J9" s="12" t="str">
        <f aca="false">VLOOKUP(I9,Lookup_Customers!$A$2:$F$9,2,FALSE())</f>
        <v>Amit Deshmukh</v>
      </c>
      <c r="K9" s="12" t="str">
        <f aca="false">VLOOKUP(I9,Lookup_Customers!$A$2:$F$9,5,FALSE())</f>
        <v>West</v>
      </c>
      <c r="L9" s="12" t="str">
        <f aca="false">VLOOKUP(B9,Lookup_Orders!$A$2:$G$10,4,FALSE())</f>
        <v>Processing</v>
      </c>
      <c r="M9" s="12" t="str">
        <f aca="false">VLOOKUP(B9,Lookup_Orders!$A$2:$G$10,6,FALSE())</f>
        <v>VIP</v>
      </c>
      <c r="N9" s="12" t="str">
        <f aca="false">VLOOKUP(C9,Lookup_Products!$A$2:$E$9,2,FALSE())</f>
        <v>Gel Pen Box (10pcs)</v>
      </c>
      <c r="O9" s="12" t="str">
        <f aca="false">VLOOKUP(C9,Lookup_Products!$A$2:$E$9,4,FALSE())</f>
        <v>Stationery</v>
      </c>
    </row>
    <row r="10" customFormat="false" ht="15" hidden="false" customHeight="false" outlineLevel="0" collapsed="false">
      <c r="A10" s="12" t="n">
        <v>9</v>
      </c>
      <c r="B10" s="12" t="n">
        <v>4</v>
      </c>
      <c r="C10" s="12" t="n">
        <v>5</v>
      </c>
      <c r="D10" s="12" t="n">
        <v>2</v>
      </c>
      <c r="E10" s="12" t="n">
        <v>249</v>
      </c>
      <c r="F10" s="12" t="n">
        <v>0</v>
      </c>
      <c r="G10" s="12" t="n">
        <f aca="false">D10*E10*(1-F10/100)</f>
        <v>498</v>
      </c>
      <c r="H10" s="14" t="n">
        <f aca="false">VLOOKUP(B10,Lookup_Orders!$A$2:$G$10,2,FALSE())</f>
        <v>45324</v>
      </c>
      <c r="I10" s="12" t="n">
        <f aca="false">VLOOKUP(B10,Lookup_Orders!$A$2:$G$10,3,FALSE())</f>
        <v>4</v>
      </c>
      <c r="J10" s="12" t="str">
        <f aca="false">VLOOKUP(I10,Lookup_Customers!$A$2:$F$9,2,FALSE())</f>
        <v>Sneha Kulkarni</v>
      </c>
      <c r="K10" s="12" t="str">
        <f aca="false">VLOOKUP(I10,Lookup_Customers!$A$2:$F$9,5,FALSE())</f>
        <v>West</v>
      </c>
      <c r="L10" s="12" t="str">
        <f aca="false">VLOOKUP(B10,Lookup_Orders!$A$2:$G$10,4,FALSE())</f>
        <v>Delivered</v>
      </c>
      <c r="M10" s="12" t="str">
        <f aca="false">VLOOKUP(B10,Lookup_Orders!$A$2:$G$10,6,FALSE())</f>
        <v>Standard</v>
      </c>
      <c r="N10" s="12" t="str">
        <f aca="false">VLOOKUP(C10,Lookup_Products!$A$2:$E$9,2,FALSE())</f>
        <v>Notebook Pack (5pcs)</v>
      </c>
      <c r="O10" s="12" t="str">
        <f aca="false">VLOOKUP(C10,Lookup_Products!$A$2:$E$9,4,FALSE())</f>
        <v>Stationery</v>
      </c>
    </row>
    <row r="11" customFormat="false" ht="15" hidden="false" customHeight="false" outlineLevel="0" collapsed="false">
      <c r="A11" s="12" t="n">
        <v>10</v>
      </c>
      <c r="B11" s="12" t="n">
        <v>4</v>
      </c>
      <c r="C11" s="12" t="n">
        <v>6</v>
      </c>
      <c r="D11" s="12" t="n">
        <v>1</v>
      </c>
      <c r="E11" s="12" t="n">
        <v>149</v>
      </c>
      <c r="F11" s="12" t="n">
        <v>0</v>
      </c>
      <c r="G11" s="12" t="n">
        <f aca="false">D11*E11*(1-F11/100)</f>
        <v>149</v>
      </c>
      <c r="H11" s="14" t="n">
        <f aca="false">VLOOKUP(B11,Lookup_Orders!$A$2:$G$10,2,FALSE())</f>
        <v>45324</v>
      </c>
      <c r="I11" s="12" t="n">
        <f aca="false">VLOOKUP(B11,Lookup_Orders!$A$2:$G$10,3,FALSE())</f>
        <v>4</v>
      </c>
      <c r="J11" s="12" t="str">
        <f aca="false">VLOOKUP(I11,Lookup_Customers!$A$2:$F$9,2,FALSE())</f>
        <v>Sneha Kulkarni</v>
      </c>
      <c r="K11" s="12" t="str">
        <f aca="false">VLOOKUP(I11,Lookup_Customers!$A$2:$F$9,5,FALSE())</f>
        <v>West</v>
      </c>
      <c r="L11" s="12" t="str">
        <f aca="false">VLOOKUP(B11,Lookup_Orders!$A$2:$G$10,4,FALSE())</f>
        <v>Delivered</v>
      </c>
      <c r="M11" s="12" t="str">
        <f aca="false">VLOOKUP(B11,Lookup_Orders!$A$2:$G$10,6,FALSE())</f>
        <v>Standard</v>
      </c>
      <c r="N11" s="12" t="str">
        <f aca="false">VLOOKUP(C11,Lookup_Products!$A$2:$E$9,2,FALSE())</f>
        <v>Gel Pen Box (10pcs)</v>
      </c>
      <c r="O11" s="12" t="str">
        <f aca="false">VLOOKUP(C11,Lookup_Products!$A$2:$E$9,4,FALSE())</f>
        <v>Stationery</v>
      </c>
    </row>
    <row r="12" customFormat="false" ht="15" hidden="false" customHeight="false" outlineLevel="0" collapsed="false">
      <c r="A12" s="12" t="n">
        <v>11</v>
      </c>
      <c r="B12" s="12" t="n">
        <v>5</v>
      </c>
      <c r="C12" s="12" t="n">
        <v>4</v>
      </c>
      <c r="D12" s="12" t="n">
        <v>1</v>
      </c>
      <c r="E12" s="12" t="n">
        <v>1499</v>
      </c>
      <c r="F12" s="12" t="n">
        <v>0</v>
      </c>
      <c r="G12" s="12" t="n">
        <f aca="false">D12*E12*(1-F12/100)</f>
        <v>1499</v>
      </c>
      <c r="H12" s="14" t="n">
        <f aca="false">VLOOKUP(B12,Lookup_Orders!$A$2:$G$10,2,FALSE())</f>
        <v>45336</v>
      </c>
      <c r="I12" s="12" t="n">
        <f aca="false">VLOOKUP(B12,Lookup_Orders!$A$2:$G$10,3,FALSE())</f>
        <v>5</v>
      </c>
      <c r="J12" s="12" t="str">
        <f aca="false">VLOOKUP(I12,Lookup_Customers!$A$2:$F$9,2,FALSE())</f>
        <v>Vikram Joshi</v>
      </c>
      <c r="K12" s="12" t="str">
        <f aca="false">VLOOKUP(I12,Lookup_Customers!$A$2:$F$9,5,FALSE())</f>
        <v>West</v>
      </c>
      <c r="L12" s="12" t="str">
        <f aca="false">VLOOKUP(B12,Lookup_Orders!$A$2:$G$10,4,FALSE())</f>
        <v>Cancelled</v>
      </c>
      <c r="M12" s="12" t="str">
        <f aca="false">VLOOKUP(B12,Lookup_Orders!$A$2:$G$10,6,FALSE())</f>
        <v>VIP</v>
      </c>
      <c r="N12" s="12" t="str">
        <f aca="false">VLOOKUP(C12,Lookup_Products!$A$2:$E$9,2,FALSE())</f>
        <v>Electric Kettle</v>
      </c>
      <c r="O12" s="12" t="str">
        <f aca="false">VLOOKUP(C12,Lookup_Products!$A$2:$E$9,4,FALSE())</f>
        <v>Home Appliances</v>
      </c>
    </row>
    <row r="13" customFormat="false" ht="15" hidden="false" customHeight="false" outlineLevel="0" collapsed="false">
      <c r="A13" s="12" t="n">
        <v>12</v>
      </c>
      <c r="B13" s="12" t="n">
        <v>6</v>
      </c>
      <c r="C13" s="12" t="n">
        <v>3</v>
      </c>
      <c r="D13" s="12" t="n">
        <v>1</v>
      </c>
      <c r="E13" s="12" t="n">
        <v>899</v>
      </c>
      <c r="F13" s="12" t="n">
        <v>0</v>
      </c>
      <c r="G13" s="12" t="n">
        <f aca="false">D13*E13*(1-F13/100)</f>
        <v>899</v>
      </c>
      <c r="H13" s="14" t="n">
        <f aca="false">VLOOKUP(B13,Lookup_Orders!$A$2:$G$10,2,FALSE())</f>
        <v>45347</v>
      </c>
      <c r="I13" s="12" t="n">
        <f aca="false">VLOOKUP(B13,Lookup_Orders!$A$2:$G$10,3,FALSE())</f>
        <v>1</v>
      </c>
      <c r="J13" s="12" t="str">
        <f aca="false">VLOOKUP(I13,Lookup_Customers!$A$2:$F$9,2,FALSE())</f>
        <v>Rohan Sharma</v>
      </c>
      <c r="K13" s="12" t="str">
        <f aca="false">VLOOKUP(I13,Lookup_Customers!$A$2:$F$9,5,FALSE())</f>
        <v>West</v>
      </c>
      <c r="L13" s="12" t="str">
        <f aca="false">VLOOKUP(B13,Lookup_Orders!$A$2:$G$10,4,FALSE())</f>
        <v>Delivered</v>
      </c>
      <c r="M13" s="12" t="str">
        <f aca="false">VLOOKUP(B13,Lookup_Orders!$A$2:$G$10,6,FALSE())</f>
        <v>Standard</v>
      </c>
      <c r="N13" s="12" t="str">
        <f aca="false">VLOOKUP(C13,Lookup_Products!$A$2:$E$9,2,FALSE())</f>
        <v>LED Desk Lamp</v>
      </c>
      <c r="O13" s="12" t="str">
        <f aca="false">VLOOKUP(C13,Lookup_Products!$A$2:$E$9,4,FALSE())</f>
        <v>Home Appliances</v>
      </c>
    </row>
    <row r="14" customFormat="false" ht="15" hidden="false" customHeight="false" outlineLevel="0" collapsed="false">
      <c r="A14" s="12" t="n">
        <v>13</v>
      </c>
      <c r="B14" s="12" t="n">
        <v>7</v>
      </c>
      <c r="C14" s="12" t="n">
        <v>8</v>
      </c>
      <c r="D14" s="12" t="n">
        <v>1</v>
      </c>
      <c r="E14" s="12" t="n">
        <v>7499</v>
      </c>
      <c r="F14" s="12" t="n">
        <v>0</v>
      </c>
      <c r="G14" s="12" t="n">
        <f aca="false">D14*E14*(1-F14/100)</f>
        <v>7499</v>
      </c>
      <c r="H14" s="14" t="n">
        <f aca="false">VLOOKUP(B14,Lookup_Orders!$A$2:$G$10,2,FALSE())</f>
        <v>45354</v>
      </c>
      <c r="I14" s="12" t="n">
        <f aca="false">VLOOKUP(B14,Lookup_Orders!$A$2:$G$10,3,FALSE())</f>
        <v>6</v>
      </c>
      <c r="J14" s="12" t="str">
        <f aca="false">VLOOKUP(I14,Lookup_Customers!$A$2:$F$9,2,FALSE())</f>
        <v>Neha Patil</v>
      </c>
      <c r="K14" s="12" t="str">
        <f aca="false">VLOOKUP(I14,Lookup_Customers!$A$2:$F$9,5,FALSE())</f>
        <v>West</v>
      </c>
      <c r="L14" s="12" t="str">
        <f aca="false">VLOOKUP(B14,Lookup_Orders!$A$2:$G$10,4,FALSE())</f>
        <v>Pending</v>
      </c>
      <c r="M14" s="12" t="str">
        <f aca="false">VLOOKUP(B14,Lookup_Orders!$A$2:$G$10,6,FALSE())</f>
        <v>VIP</v>
      </c>
      <c r="N14" s="12" t="str">
        <f aca="false">VLOOKUP(C14,Lookup_Products!$A$2:$E$9,2,FALSE())</f>
        <v>Study Table</v>
      </c>
      <c r="O14" s="12" t="str">
        <f aca="false">VLOOKUP(C14,Lookup_Products!$A$2:$E$9,4,FALSE())</f>
        <v>Furniture</v>
      </c>
    </row>
    <row r="15" customFormat="false" ht="15" hidden="false" customHeight="false" outlineLevel="0" collapsed="false">
      <c r="A15" s="12" t="n">
        <v>14</v>
      </c>
      <c r="B15" s="12" t="n">
        <v>8</v>
      </c>
      <c r="C15" s="12" t="n">
        <v>7</v>
      </c>
      <c r="D15" s="12" t="n">
        <v>2</v>
      </c>
      <c r="E15" s="12" t="n">
        <v>5999</v>
      </c>
      <c r="F15" s="12" t="n">
        <v>0</v>
      </c>
      <c r="G15" s="12" t="n">
        <f aca="false">D15*E15*(1-F15/100)</f>
        <v>11998</v>
      </c>
      <c r="H15" s="14" t="n">
        <f aca="false">VLOOKUP(B15,Lookup_Orders!$A$2:$G$10,2,FALSE())</f>
        <v>45366</v>
      </c>
      <c r="I15" s="12" t="n">
        <f aca="false">VLOOKUP(B15,Lookup_Orders!$A$2:$G$10,3,FALSE())</f>
        <v>7</v>
      </c>
      <c r="J15" s="12" t="str">
        <f aca="false">VLOOKUP(I15,Lookup_Customers!$A$2:$F$9,2,FALSE())</f>
        <v>Karan Mehta</v>
      </c>
      <c r="K15" s="12" t="str">
        <f aca="false">VLOOKUP(I15,Lookup_Customers!$A$2:$F$9,5,FALSE())</f>
        <v>West</v>
      </c>
      <c r="L15" s="12" t="str">
        <f aca="false">VLOOKUP(B15,Lookup_Orders!$A$2:$G$10,4,FALSE())</f>
        <v>Delivered</v>
      </c>
      <c r="M15" s="12" t="str">
        <f aca="false">VLOOKUP(B15,Lookup_Orders!$A$2:$G$10,6,FALSE())</f>
        <v>VIP</v>
      </c>
      <c r="N15" s="12" t="str">
        <f aca="false">VLOOKUP(C15,Lookup_Products!$A$2:$E$9,2,FALSE())</f>
        <v>Office Chair</v>
      </c>
      <c r="O15" s="12" t="str">
        <f aca="false">VLOOKUP(C15,Lookup_Products!$A$2:$E$9,4,FALSE())</f>
        <v>Furniture</v>
      </c>
    </row>
    <row r="16" customFormat="false" ht="15" hidden="false" customHeight="false" outlineLevel="0" collapsed="false">
      <c r="A16" s="12" t="n">
        <v>15</v>
      </c>
      <c r="B16" s="12" t="n">
        <v>9</v>
      </c>
      <c r="C16" s="12" t="n">
        <v>5</v>
      </c>
      <c r="D16" s="12" t="n">
        <v>1</v>
      </c>
      <c r="E16" s="12" t="n">
        <v>249</v>
      </c>
      <c r="F16" s="12" t="n">
        <v>0</v>
      </c>
      <c r="G16" s="12" t="n">
        <f aca="false">D16*E16*(1-F16/100)</f>
        <v>249</v>
      </c>
      <c r="H16" s="14" t="n">
        <f aca="false">VLOOKUP(B16,Lookup_Orders!$A$2:$G$10,2,FALSE())</f>
        <v>45372</v>
      </c>
      <c r="I16" s="12" t="n">
        <f aca="false">VLOOKUP(B16,Lookup_Orders!$A$2:$G$10,3,FALSE())</f>
        <v>8</v>
      </c>
      <c r="J16" s="12" t="str">
        <f aca="false">VLOOKUP(I16,Lookup_Customers!$A$2:$F$9,2,FALSE())</f>
        <v>Anjali Gupta</v>
      </c>
      <c r="K16" s="12" t="str">
        <f aca="false">VLOOKUP(I16,Lookup_Customers!$A$2:$F$9,5,FALSE())</f>
        <v>West</v>
      </c>
      <c r="L16" s="12" t="str">
        <f aca="false">VLOOKUP(B16,Lookup_Orders!$A$2:$G$10,4,FALSE())</f>
        <v>Shipped</v>
      </c>
      <c r="M16" s="12" t="str">
        <f aca="false">VLOOKUP(B16,Lookup_Orders!$A$2:$G$10,6,FALSE())</f>
        <v>Standard</v>
      </c>
      <c r="N16" s="12" t="str">
        <f aca="false">VLOOKUP(C16,Lookup_Products!$A$2:$E$9,2,FALSE())</f>
        <v>Notebook Pack (5pcs)</v>
      </c>
      <c r="O16" s="12" t="str">
        <f aca="false">VLOOKUP(C16,Lookup_Products!$A$2:$E$9,4,FALSE())</f>
        <v>Stationery</v>
      </c>
    </row>
    <row r="17" customFormat="false" ht="15" hidden="false" customHeight="false" outlineLevel="0" collapsed="false">
      <c r="A17" s="12" t="n">
        <v>16</v>
      </c>
      <c r="B17" s="12" t="n">
        <v>9</v>
      </c>
      <c r="C17" s="12" t="n">
        <v>6</v>
      </c>
      <c r="D17" s="12" t="n">
        <v>1</v>
      </c>
      <c r="E17" s="12" t="n">
        <v>149</v>
      </c>
      <c r="F17" s="12" t="n">
        <v>0</v>
      </c>
      <c r="G17" s="12" t="n">
        <f aca="false">D17*E17*(1-F17/100)</f>
        <v>149</v>
      </c>
      <c r="H17" s="14" t="n">
        <f aca="false">VLOOKUP(B17,Lookup_Orders!$A$2:$G$10,2,FALSE())</f>
        <v>45372</v>
      </c>
      <c r="I17" s="12" t="n">
        <f aca="false">VLOOKUP(B17,Lookup_Orders!$A$2:$G$10,3,FALSE())</f>
        <v>8</v>
      </c>
      <c r="J17" s="12" t="str">
        <f aca="false">VLOOKUP(I17,Lookup_Customers!$A$2:$F$9,2,FALSE())</f>
        <v>Anjali Gupta</v>
      </c>
      <c r="K17" s="12" t="str">
        <f aca="false">VLOOKUP(I17,Lookup_Customers!$A$2:$F$9,5,FALSE())</f>
        <v>West</v>
      </c>
      <c r="L17" s="12" t="str">
        <f aca="false">VLOOKUP(B17,Lookup_Orders!$A$2:$G$10,4,FALSE())</f>
        <v>Shipped</v>
      </c>
      <c r="M17" s="12" t="str">
        <f aca="false">VLOOKUP(B17,Lookup_Orders!$A$2:$G$10,6,FALSE())</f>
        <v>Standard</v>
      </c>
      <c r="N17" s="12" t="str">
        <f aca="false">VLOOKUP(C17,Lookup_Products!$A$2:$E$9,2,FALSE())</f>
        <v>Gel Pen Box (10pcs)</v>
      </c>
      <c r="O17" s="12" t="str">
        <f aca="false">VLOOKUP(C17,Lookup_Products!$A$2:$E$9,4,FALSE())</f>
        <v>Stationery</v>
      </c>
    </row>
    <row r="19" customFormat="false" ht="15" hidden="false" customHeight="false" outlineLevel="0" collapsed="false">
      <c r="A19" s="13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11" t="s">
        <v>7</v>
      </c>
      <c r="B1" s="11" t="s">
        <v>74</v>
      </c>
      <c r="C1" s="11" t="s">
        <v>75</v>
      </c>
    </row>
    <row r="2" customFormat="false" ht="15" hidden="false" customHeight="false" outlineLevel="0" collapsed="false">
      <c r="A2" s="12" t="s">
        <v>8</v>
      </c>
      <c r="B2" s="12" t="n">
        <f aca="false">SUMIF(RawData!$O$2:$O$17,A2,RawData!$D$2:$D$17)</f>
        <v>2</v>
      </c>
      <c r="C2" s="12" t="n">
        <f aca="false">SUMIF(RawData!$O$2:$O$17,A2,RawData!$G$2:$G$17)</f>
        <v>1898</v>
      </c>
    </row>
    <row r="3" customFormat="false" ht="15" hidden="false" customHeight="false" outlineLevel="0" collapsed="false">
      <c r="A3" s="12" t="s">
        <v>9</v>
      </c>
      <c r="B3" s="12" t="n">
        <f aca="false">SUMIF(RawData!$O$2:$O$17,A3,RawData!$D$2:$D$17)</f>
        <v>4</v>
      </c>
      <c r="C3" s="12" t="n">
        <f aca="false">SUMIF(RawData!$O$2:$O$17,A3,RawData!$G$2:$G$17)</f>
        <v>4796</v>
      </c>
    </row>
    <row r="4" customFormat="false" ht="15" hidden="false" customHeight="false" outlineLevel="0" collapsed="false">
      <c r="A4" s="12" t="s">
        <v>10</v>
      </c>
      <c r="B4" s="12" t="n">
        <f aca="false">SUMIF(RawData!$O$2:$O$17,A4,RawData!$D$2:$D$17)</f>
        <v>11</v>
      </c>
      <c r="C4" s="12" t="n">
        <f aca="false">SUMIF(RawData!$O$2:$O$17,A4,RawData!$G$2:$G$17)</f>
        <v>2009.2</v>
      </c>
    </row>
    <row r="5" customFormat="false" ht="15" hidden="false" customHeight="false" outlineLevel="0" collapsed="false">
      <c r="A5" s="12" t="s">
        <v>11</v>
      </c>
      <c r="B5" s="12" t="n">
        <f aca="false">SUMIF(RawData!$O$2:$O$17,A5,RawData!$D$2:$D$17)</f>
        <v>4</v>
      </c>
      <c r="C5" s="12" t="n">
        <f aca="false">SUMIF(RawData!$O$2:$O$17,A5,RawData!$G$2:$G$17)</f>
        <v>25496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5" min="4" style="0" width="12"/>
  </cols>
  <sheetData>
    <row r="1" customFormat="false" ht="15" hidden="false" customHeight="false" outlineLevel="0" collapsed="false">
      <c r="A1" s="11" t="s">
        <v>76</v>
      </c>
      <c r="B1" s="11" t="s">
        <v>77</v>
      </c>
      <c r="C1" s="11" t="s">
        <v>78</v>
      </c>
      <c r="D1" s="11" t="s">
        <v>75</v>
      </c>
      <c r="E1" s="11" t="s">
        <v>79</v>
      </c>
    </row>
    <row r="2" customFormat="false" ht="15" hidden="false" customHeight="false" outlineLevel="0" collapsed="false">
      <c r="A2" s="12" t="s">
        <v>80</v>
      </c>
      <c r="B2" s="14" t="n">
        <v>45292</v>
      </c>
      <c r="C2" s="14" t="n">
        <v>45322</v>
      </c>
      <c r="D2" s="12" t="n">
        <f aca="false">SUMIFS(Lookup_Orders!$E$2:$E$10,Lookup_Orders!$B$2:$B$10,"&gt;="&amp;B2,Lookup_Orders!$B$2:$B$10,"&lt;="&amp;C2)</f>
        <v>11794</v>
      </c>
      <c r="E2" s="12" t="n">
        <f aca="false">COUNTIFS(Lookup_Orders!$B$2:$B$10,"&gt;="&amp;B2,Lookup_Orders!$B$2:$B$10,"&lt;="&amp;C2)</f>
        <v>3</v>
      </c>
    </row>
    <row r="3" customFormat="false" ht="15" hidden="false" customHeight="false" outlineLevel="0" collapsed="false">
      <c r="A3" s="12" t="s">
        <v>81</v>
      </c>
      <c r="B3" s="14" t="n">
        <v>45323</v>
      </c>
      <c r="C3" s="14" t="n">
        <v>45351</v>
      </c>
      <c r="D3" s="12" t="n">
        <f aca="false">SUMIFS(Lookup_Orders!$E$2:$E$10,Lookup_Orders!$B$2:$B$10,"&gt;="&amp;B3,Lookup_Orders!$B$2:$B$10,"&lt;="&amp;C3)</f>
        <v>3146</v>
      </c>
      <c r="E3" s="12" t="n">
        <f aca="false">COUNTIFS(Lookup_Orders!$B$2:$B$10,"&gt;="&amp;B3,Lookup_Orders!$B$2:$B$10,"&lt;="&amp;C3)</f>
        <v>3</v>
      </c>
    </row>
    <row r="4" customFormat="false" ht="15" hidden="false" customHeight="false" outlineLevel="0" collapsed="false">
      <c r="A4" s="12" t="s">
        <v>82</v>
      </c>
      <c r="B4" s="14" t="n">
        <v>45352</v>
      </c>
      <c r="C4" s="14" t="n">
        <v>45382</v>
      </c>
      <c r="D4" s="12" t="n">
        <f aca="false">SUMIFS(Lookup_Orders!$E$2:$E$10,Lookup_Orders!$B$2:$B$10,"&gt;="&amp;B4,Lookup_Orders!$B$2:$B$10,"&lt;="&amp;C4)</f>
        <v>19895</v>
      </c>
      <c r="E4" s="12" t="n">
        <f aca="false">COUNTIFS(Lookup_Orders!$B$2:$B$10,"&gt;="&amp;B4,Lookup_Orders!$B$2:$B$10,"&lt;="&amp;C4)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11" t="s">
        <v>72</v>
      </c>
      <c r="B1" s="11" t="s">
        <v>79</v>
      </c>
      <c r="C1" s="11" t="s">
        <v>75</v>
      </c>
    </row>
    <row r="2" customFormat="false" ht="15" hidden="false" customHeight="false" outlineLevel="0" collapsed="false">
      <c r="A2" s="12" t="s">
        <v>66</v>
      </c>
      <c r="B2" s="12" t="n">
        <f aca="false">COUNTIF(Lookup_Orders!$D$2:$D$10,A2)</f>
        <v>1</v>
      </c>
      <c r="C2" s="12" t="n">
        <f aca="false">SUMIF(Lookup_Orders!$D$2:$D$10,A2,Lookup_Orders!$E$2:$E$10)</f>
        <v>7499</v>
      </c>
    </row>
    <row r="3" customFormat="false" ht="15" hidden="false" customHeight="false" outlineLevel="0" collapsed="false">
      <c r="A3" s="12" t="s">
        <v>63</v>
      </c>
      <c r="B3" s="12" t="n">
        <f aca="false">COUNTIF(Lookup_Orders!$D$2:$D$10,A3)</f>
        <v>1</v>
      </c>
      <c r="C3" s="12" t="n">
        <f aca="false">SUMIF(Lookup_Orders!$D$2:$D$10,A3,Lookup_Orders!$E$2:$E$10)</f>
        <v>2998</v>
      </c>
    </row>
    <row r="4" customFormat="false" ht="15" hidden="false" customHeight="false" outlineLevel="0" collapsed="false">
      <c r="A4" s="12" t="s">
        <v>67</v>
      </c>
      <c r="B4" s="12" t="n">
        <f aca="false">COUNTIF(Lookup_Orders!$D$2:$D$10,A4)</f>
        <v>1</v>
      </c>
      <c r="C4" s="12" t="n">
        <f aca="false">SUMIF(Lookup_Orders!$D$2:$D$10,A4,Lookup_Orders!$E$2:$E$10)</f>
        <v>398</v>
      </c>
    </row>
    <row r="5" customFormat="false" ht="15" hidden="false" customHeight="false" outlineLevel="0" collapsed="false">
      <c r="A5" s="12" t="s">
        <v>62</v>
      </c>
      <c r="B5" s="12" t="n">
        <f aca="false">COUNTIF(Lookup_Orders!$D$2:$D$10,A5)</f>
        <v>5</v>
      </c>
      <c r="C5" s="12" t="n">
        <f aca="false">SUMIF(Lookup_Orders!$D$2:$D$10,A5,Lookup_Orders!$E$2:$E$10)</f>
        <v>22441</v>
      </c>
    </row>
    <row r="6" customFormat="false" ht="15" hidden="false" customHeight="false" outlineLevel="0" collapsed="false">
      <c r="A6" s="12" t="s">
        <v>64</v>
      </c>
      <c r="B6" s="12" t="n">
        <f aca="false">COUNTIF(Lookup_Orders!$D$2:$D$10,A6)</f>
        <v>1</v>
      </c>
      <c r="C6" s="12" t="n">
        <f aca="false">SUMIF(Lookup_Orders!$D$2:$D$10,A6,Lookup_Orders!$E$2:$E$10)</f>
        <v>1499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2026-08-26T08:54:00Z</dcterms:created>
  <dc:creator>openpyxl</dc:creator>
  <dc:description/>
  <dc:language>en-US</dc:language>
  <cp:lastModifiedBy/>
  <dcterms:modified xsi:type="dcterms:W3CDTF">2026-08-26T08:54:06Z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